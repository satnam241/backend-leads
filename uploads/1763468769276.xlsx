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3040" windowHeight="9192" activeTab="4"/>
  </bookViews>
  <sheets>
    <sheet name="Sheet1" sheetId="1" r:id="rId1"/>
    <sheet name="Sheet2" sheetId="2" r:id="rId2"/>
    <sheet name="Sheet3" sheetId="3" r:id="rId3"/>
    <sheet name="Sheet1 (2)" sheetId="4" r:id="rId4"/>
    <sheet name="Sheet4" sheetId="5" r:id="rId5"/>
  </sheets>
  <calcPr calcId="162913"/>
</workbook>
</file>

<file path=xl/calcChain.xml><?xml version="1.0" encoding="utf-8"?>
<calcChain xmlns="http://schemas.openxmlformats.org/spreadsheetml/2006/main">
  <c r="F29" i="5" l="1"/>
  <c r="O32" i="4" l="1"/>
  <c r="I32" i="4" l="1"/>
  <c r="F32" i="4"/>
  <c r="G28" i="4"/>
  <c r="H28" i="4" s="1"/>
  <c r="G25" i="4"/>
  <c r="H25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5" i="4"/>
  <c r="H15" i="4" s="1"/>
  <c r="G12" i="4"/>
  <c r="H12" i="4" s="1"/>
  <c r="G10" i="4"/>
  <c r="H10" i="4" s="1"/>
  <c r="G9" i="4"/>
  <c r="H9" i="4" s="1"/>
  <c r="G8" i="4"/>
  <c r="G7" i="4"/>
  <c r="H7" i="4" s="1"/>
  <c r="G32" i="4" l="1"/>
  <c r="H8" i="4"/>
  <c r="F14" i="2"/>
  <c r="E14" i="2"/>
  <c r="F27" i="2" l="1"/>
  <c r="E27" i="2"/>
  <c r="E8" i="2"/>
  <c r="K24" i="1"/>
  <c r="K17" i="1"/>
  <c r="K16" i="1"/>
  <c r="K15" i="1"/>
  <c r="K14" i="1"/>
  <c r="K13" i="1"/>
  <c r="K11" i="1"/>
  <c r="K10" i="1"/>
  <c r="K9" i="1"/>
  <c r="K8" i="1"/>
  <c r="H28" i="1"/>
  <c r="H25" i="1"/>
  <c r="K25" i="1" s="1"/>
  <c r="H23" i="1"/>
  <c r="K23" i="1" s="1"/>
  <c r="H22" i="1"/>
  <c r="K22" i="1" s="1"/>
  <c r="H21" i="1"/>
  <c r="K21" i="1" s="1"/>
  <c r="H20" i="1"/>
  <c r="K20" i="1" s="1"/>
  <c r="H19" i="1"/>
  <c r="K19" i="1" s="1"/>
  <c r="H18" i="1"/>
  <c r="K18" i="1" s="1"/>
  <c r="H15" i="1"/>
  <c r="H12" i="1"/>
  <c r="K12" i="1" s="1"/>
  <c r="H10" i="1"/>
  <c r="H9" i="1"/>
  <c r="H8" i="1"/>
  <c r="H7" i="1"/>
  <c r="K7" i="1" s="1"/>
  <c r="G25" i="1"/>
  <c r="G23" i="1"/>
  <c r="G22" i="1"/>
  <c r="G21" i="1"/>
  <c r="G20" i="1"/>
  <c r="G19" i="1"/>
  <c r="G7" i="1"/>
  <c r="F28" i="1"/>
  <c r="G28" i="1" s="1"/>
  <c r="F25" i="1"/>
  <c r="F23" i="1"/>
  <c r="F22" i="1"/>
  <c r="F21" i="1"/>
  <c r="F20" i="1"/>
  <c r="F19" i="1"/>
  <c r="F18" i="1"/>
  <c r="G18" i="1" s="1"/>
  <c r="F15" i="1"/>
  <c r="G15" i="1" s="1"/>
  <c r="F12" i="1"/>
  <c r="G12" i="1" s="1"/>
  <c r="F10" i="1"/>
  <c r="G10" i="1" s="1"/>
  <c r="F9" i="1"/>
  <c r="G9" i="1" s="1"/>
  <c r="F8" i="1"/>
  <c r="G8" i="1" s="1"/>
  <c r="F7" i="1"/>
  <c r="E32" i="1"/>
  <c r="I32" i="1"/>
  <c r="K32" i="1" l="1"/>
  <c r="H32" i="1"/>
  <c r="F32" i="1"/>
  <c r="E28" i="2"/>
  <c r="F28" i="2"/>
</calcChain>
</file>

<file path=xl/sharedStrings.xml><?xml version="1.0" encoding="utf-8"?>
<sst xmlns="http://schemas.openxmlformats.org/spreadsheetml/2006/main" count="225" uniqueCount="84">
  <si>
    <t>S.no</t>
  </si>
  <si>
    <t>Name Of Land Owner</t>
  </si>
  <si>
    <t>Name of Land Owner</t>
  </si>
  <si>
    <t>(Legal Heirs)</t>
  </si>
  <si>
    <t>Sukhdeep Singh(Son)</t>
  </si>
  <si>
    <t>Navdeep Singh(son)</t>
  </si>
  <si>
    <t>Amar Singh (Deceased</t>
  </si>
  <si>
    <t>1.Gurmukh Singh (Son)</t>
  </si>
  <si>
    <t>2.Ranjodh Singh (Son)</t>
  </si>
  <si>
    <t>3.Jagjeet Singh (son)</t>
  </si>
  <si>
    <t>4.Jaspal Singh (Son)(Dece)</t>
  </si>
  <si>
    <t>4.Jaspal Singh(son) (Dece)</t>
  </si>
  <si>
    <t>4.jaspal singh(Son) (Dece)</t>
  </si>
  <si>
    <t>Piyara singh (dece)</t>
  </si>
  <si>
    <t>1.Naib singh</t>
  </si>
  <si>
    <t>2.Sukhdev singh</t>
  </si>
  <si>
    <t>3.Bhupinder Singh</t>
  </si>
  <si>
    <t>4.Ajaib singh</t>
  </si>
  <si>
    <t>Gurdial singh (Dec)</t>
  </si>
  <si>
    <t>1.Lakhvir Singh</t>
  </si>
  <si>
    <t>1.Bahadur singh</t>
  </si>
  <si>
    <t>Karnail singh(Dece)</t>
  </si>
  <si>
    <t>Gurmail Singh (Alive)</t>
  </si>
  <si>
    <t>Surjit Singh (Decesed)</t>
  </si>
  <si>
    <t>1.Swarn singh</t>
  </si>
  <si>
    <t>2.Kulwant Singh</t>
  </si>
  <si>
    <t>3.Gurdeep singh</t>
  </si>
  <si>
    <t>s/o Mehma Singh</t>
  </si>
  <si>
    <t xml:space="preserve">Ravinder kaur(wife) </t>
  </si>
  <si>
    <t>hisa</t>
  </si>
  <si>
    <t>kanal</t>
  </si>
  <si>
    <t>Acres</t>
  </si>
  <si>
    <t>cheque</t>
  </si>
  <si>
    <t>paid</t>
  </si>
  <si>
    <t>25/2</t>
  </si>
  <si>
    <t>10/2</t>
  </si>
  <si>
    <t>11/1</t>
  </si>
  <si>
    <t>9</t>
  </si>
  <si>
    <t>10/1</t>
  </si>
  <si>
    <t>3/2</t>
  </si>
  <si>
    <t>4</t>
  </si>
  <si>
    <t>5</t>
  </si>
  <si>
    <t>6</t>
  </si>
  <si>
    <t>7</t>
  </si>
  <si>
    <t>8</t>
  </si>
  <si>
    <t>13</t>
  </si>
  <si>
    <t>14</t>
  </si>
  <si>
    <t>15</t>
  </si>
  <si>
    <t>16</t>
  </si>
  <si>
    <t>17</t>
  </si>
  <si>
    <t>khasra</t>
  </si>
  <si>
    <t>marla</t>
  </si>
  <si>
    <t>25/1</t>
  </si>
  <si>
    <t>A</t>
  </si>
  <si>
    <t>B</t>
  </si>
  <si>
    <t>C</t>
  </si>
  <si>
    <t>D=(A+B+C)</t>
  </si>
  <si>
    <t>or</t>
  </si>
  <si>
    <t>no.</t>
  </si>
  <si>
    <t>S.no.</t>
  </si>
  <si>
    <t>Detail Of Land</t>
  </si>
  <si>
    <t>1</t>
  </si>
  <si>
    <t>(4-7)</t>
  </si>
  <si>
    <t xml:space="preserve">15Acr-5k </t>
  </si>
  <si>
    <t>7m</t>
  </si>
  <si>
    <t>cash</t>
  </si>
  <si>
    <t>3909 6788 4384</t>
  </si>
  <si>
    <t xml:space="preserve">Sampla (Fathegarh Sahib) </t>
  </si>
  <si>
    <t xml:space="preserve"> 9802 2323 5893</t>
  </si>
  <si>
    <t>5264 6682 7778</t>
  </si>
  <si>
    <t>3421 5257 8007</t>
  </si>
  <si>
    <t>5440 4601 4571</t>
  </si>
  <si>
    <t>Aadhar no.</t>
  </si>
  <si>
    <t>6004 7721 8901</t>
  </si>
  <si>
    <t>6436 3983 6438</t>
  </si>
  <si>
    <t>3251 5413 1412</t>
  </si>
  <si>
    <t>obc</t>
  </si>
  <si>
    <t>axis bank</t>
  </si>
  <si>
    <t>obc bank</t>
  </si>
  <si>
    <t>k</t>
  </si>
  <si>
    <t>No.</t>
  </si>
  <si>
    <t>Cheque</t>
  </si>
  <si>
    <t>Bank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</si>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</sst>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3" fillId="0" borderId="1" xfId="0" applyFont="1" applyBorder="1"/>
    <xf numFmtId="49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49" fontId="4" fillId="0" borderId="1" xfId="0" applyNumberFormat="1" applyFont="1" applyBorder="1" applyAlignment="1">
      <alignment horizontal="right"/>
    </xf>
    <xf numFmtId="0" fontId="0" fillId="0" borderId="2" xfId="0" applyFill="1" applyBorder="1"/>
    <xf numFmtId="0" fontId="1" fillId="0" borderId="1" xfId="0" applyFon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1" fillId="0" borderId="4" xfId="0" applyFont="1" applyBorder="1"/>
    <xf numFmtId="0" fontId="1" fillId="0" borderId="5" xfId="0" applyFont="1" applyBorder="1"/>
    <xf numFmtId="164" fontId="1" fillId="0" borderId="5" xfId="0" applyNumberFormat="1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164" fontId="0" fillId="0" borderId="9" xfId="0" applyNumberFormat="1" applyBorder="1"/>
    <xf numFmtId="2" fontId="0" fillId="0" borderId="9" xfId="0" applyNumberFormat="1" applyBorder="1"/>
    <xf numFmtId="0" fontId="0" fillId="0" borderId="11" xfId="0" applyBorder="1"/>
    <xf numFmtId="0" fontId="0" fillId="0" borderId="12" xfId="0" applyFill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K32"/>
  <sheetViews>
    <sheetView topLeftCell="A13" workbookViewId="0">
      <selection activeCell="A22" sqref="A22"/>
    </sheetView>
  </sheetViews>
  <sheetFormatPr defaultRowHeight="14.4" x14ac:dyDescent="0.3"/>
  <cols>
    <col min="1" max="1" width="5.44140625" customWidth="1"/>
    <col min="2" max="2" width="16.6640625" customWidth="1"/>
    <col min="3" max="3" width="20.6640625" customWidth="1"/>
    <col min="4" max="4" width="17.77734375" customWidth="1"/>
    <col min="5" max="5" width="9.109375" style="1" customWidth="1"/>
    <col min="6" max="6" width="7.6640625" customWidth="1"/>
    <col min="7" max="7" width="8.6640625" customWidth="1"/>
    <col min="9" max="9" width="8" customWidth="1"/>
    <col min="10" max="10" width="9.5546875" customWidth="1"/>
  </cols>
  <sheetData>
    <row r="3" spans="1:11" ht="15" thickBot="1" x14ac:dyDescent="0.35"/>
    <row r="4" spans="1:11" x14ac:dyDescent="0.3">
      <c r="A4" s="20" t="s">
        <v>0</v>
      </c>
      <c r="B4" s="21" t="s">
        <v>2</v>
      </c>
      <c r="C4" s="21" t="s">
        <v>1</v>
      </c>
      <c r="D4" s="21"/>
      <c r="E4" s="22"/>
      <c r="F4" s="21" t="s">
        <v>30</v>
      </c>
      <c r="G4" s="21" t="s">
        <v>31</v>
      </c>
      <c r="H4" s="21"/>
      <c r="I4" s="21" t="s">
        <v>32</v>
      </c>
      <c r="J4" s="21"/>
      <c r="K4" s="23"/>
    </row>
    <row r="5" spans="1:11" ht="15" thickBot="1" x14ac:dyDescent="0.35">
      <c r="A5" s="24"/>
      <c r="B5" s="25"/>
      <c r="C5" s="26" t="s">
        <v>3</v>
      </c>
      <c r="D5" s="25"/>
      <c r="E5" s="27" t="s">
        <v>29</v>
      </c>
      <c r="F5" s="25">
        <v>125</v>
      </c>
      <c r="G5" s="25">
        <v>15.5</v>
      </c>
      <c r="H5" s="25">
        <v>5000000</v>
      </c>
      <c r="I5" s="25" t="s">
        <v>33</v>
      </c>
      <c r="J5" s="25"/>
      <c r="K5" s="28"/>
    </row>
    <row r="6" spans="1:11" x14ac:dyDescent="0.3">
      <c r="A6" s="17"/>
      <c r="B6" s="17"/>
      <c r="C6" s="18"/>
      <c r="D6" s="17"/>
      <c r="E6" s="19"/>
      <c r="F6" s="17"/>
      <c r="G6" s="17"/>
      <c r="H6" s="17"/>
      <c r="I6" s="17"/>
      <c r="J6" s="17"/>
      <c r="K6" s="17"/>
    </row>
    <row r="7" spans="1:11" x14ac:dyDescent="0.3">
      <c r="A7" s="6">
        <v>1</v>
      </c>
      <c r="B7" s="6" t="s">
        <v>13</v>
      </c>
      <c r="C7" s="15" t="s">
        <v>14</v>
      </c>
      <c r="D7" s="6"/>
      <c r="E7" s="14">
        <v>4.1666666666666664E-2</v>
      </c>
      <c r="F7" s="6">
        <f>F5*E7</f>
        <v>5.208333333333333</v>
      </c>
      <c r="G7" s="6">
        <f>F7/8</f>
        <v>0.65104166666666663</v>
      </c>
      <c r="H7" s="6">
        <f>H5*E7</f>
        <v>208333.33333333331</v>
      </c>
      <c r="I7" s="6">
        <v>500000</v>
      </c>
      <c r="J7" s="6">
        <v>26416</v>
      </c>
      <c r="K7" s="6">
        <f>H7-I7</f>
        <v>-291666.66666666669</v>
      </c>
    </row>
    <row r="8" spans="1:11" x14ac:dyDescent="0.3">
      <c r="A8" s="6"/>
      <c r="B8" s="6" t="s">
        <v>27</v>
      </c>
      <c r="C8" s="15" t="s">
        <v>15</v>
      </c>
      <c r="D8" s="6"/>
      <c r="E8" s="14">
        <v>4.1666666666666664E-2</v>
      </c>
      <c r="F8" s="6">
        <f>F5*E8</f>
        <v>5.208333333333333</v>
      </c>
      <c r="G8" s="6">
        <f>F8/8</f>
        <v>0.65104166666666663</v>
      </c>
      <c r="H8" s="6">
        <f>H5*E8</f>
        <v>208333.33333333331</v>
      </c>
      <c r="I8" s="6">
        <v>500000</v>
      </c>
      <c r="J8" s="6">
        <v>26417</v>
      </c>
      <c r="K8" s="6">
        <f t="shared" ref="K8:K25" si="0">H8-I8</f>
        <v>-291666.66666666669</v>
      </c>
    </row>
    <row r="9" spans="1:11" x14ac:dyDescent="0.3">
      <c r="A9" s="6"/>
      <c r="B9" s="6"/>
      <c r="C9" s="15" t="s">
        <v>16</v>
      </c>
      <c r="D9" s="6"/>
      <c r="E9" s="14">
        <v>4.1666666666666664E-2</v>
      </c>
      <c r="F9" s="6">
        <f>F5*E9</f>
        <v>5.208333333333333</v>
      </c>
      <c r="G9" s="6">
        <f>F9/8</f>
        <v>0.65104166666666663</v>
      </c>
      <c r="H9" s="6">
        <f>H5*E9</f>
        <v>208333.33333333331</v>
      </c>
      <c r="I9" s="6">
        <v>500000</v>
      </c>
      <c r="J9" s="6">
        <v>26418</v>
      </c>
      <c r="K9" s="6">
        <f t="shared" si="0"/>
        <v>-291666.66666666669</v>
      </c>
    </row>
    <row r="10" spans="1:11" x14ac:dyDescent="0.3">
      <c r="A10" s="6"/>
      <c r="B10" s="6"/>
      <c r="C10" s="15" t="s">
        <v>17</v>
      </c>
      <c r="D10" s="6"/>
      <c r="E10" s="14">
        <v>4.1666666666666664E-2</v>
      </c>
      <c r="F10" s="6">
        <f>F5*E10</f>
        <v>5.208333333333333</v>
      </c>
      <c r="G10" s="6">
        <f>F10/8</f>
        <v>0.65104166666666663</v>
      </c>
      <c r="H10" s="6">
        <f>H5*E10</f>
        <v>208333.33333333331</v>
      </c>
      <c r="I10" s="6"/>
      <c r="J10" s="6"/>
      <c r="K10" s="6">
        <f t="shared" si="0"/>
        <v>208333.33333333331</v>
      </c>
    </row>
    <row r="11" spans="1:11" x14ac:dyDescent="0.3">
      <c r="A11" s="6"/>
      <c r="B11" s="6"/>
      <c r="C11" s="15"/>
      <c r="D11" s="6"/>
      <c r="E11" s="14"/>
      <c r="F11" s="6"/>
      <c r="G11" s="6"/>
      <c r="H11" s="6"/>
      <c r="I11" s="6"/>
      <c r="J11" s="6"/>
      <c r="K11" s="6">
        <f t="shared" si="0"/>
        <v>0</v>
      </c>
    </row>
    <row r="12" spans="1:11" x14ac:dyDescent="0.3">
      <c r="A12" s="6">
        <v>2</v>
      </c>
      <c r="B12" s="13" t="s">
        <v>22</v>
      </c>
      <c r="C12" s="6"/>
      <c r="D12" s="6"/>
      <c r="E12" s="14">
        <v>0.16666666666666666</v>
      </c>
      <c r="F12" s="6">
        <f>F5*E12</f>
        <v>20.833333333333332</v>
      </c>
      <c r="G12" s="6">
        <f>F12/8</f>
        <v>2.6041666666666665</v>
      </c>
      <c r="H12" s="6">
        <f>H5*E12</f>
        <v>833333.33333333326</v>
      </c>
      <c r="I12" s="6">
        <v>700000</v>
      </c>
      <c r="J12" s="6">
        <v>26419</v>
      </c>
      <c r="K12" s="6">
        <f t="shared" si="0"/>
        <v>133333.33333333326</v>
      </c>
    </row>
    <row r="13" spans="1:11" x14ac:dyDescent="0.3">
      <c r="A13" s="6"/>
      <c r="B13" s="6" t="s">
        <v>27</v>
      </c>
      <c r="C13" s="6"/>
      <c r="D13" s="6"/>
      <c r="E13" s="14"/>
      <c r="F13" s="6"/>
      <c r="G13" s="6"/>
      <c r="H13" s="6"/>
      <c r="I13" s="6"/>
      <c r="J13" s="6"/>
      <c r="K13" s="6">
        <f t="shared" si="0"/>
        <v>0</v>
      </c>
    </row>
    <row r="14" spans="1:11" x14ac:dyDescent="0.3">
      <c r="A14" s="6"/>
      <c r="B14" s="6"/>
      <c r="C14" s="6"/>
      <c r="D14" s="6"/>
      <c r="E14" s="14"/>
      <c r="F14" s="6"/>
      <c r="G14" s="6"/>
      <c r="H14" s="6"/>
      <c r="I14" s="6"/>
      <c r="J14" s="6"/>
      <c r="K14" s="6">
        <f t="shared" si="0"/>
        <v>0</v>
      </c>
    </row>
    <row r="15" spans="1:11" x14ac:dyDescent="0.3">
      <c r="A15" s="6">
        <v>3</v>
      </c>
      <c r="B15" s="6" t="s">
        <v>18</v>
      </c>
      <c r="C15" s="15" t="s">
        <v>19</v>
      </c>
      <c r="D15" s="6"/>
      <c r="E15" s="14">
        <v>0.16666666666666666</v>
      </c>
      <c r="F15" s="6">
        <f>F5*E15</f>
        <v>20.833333333333332</v>
      </c>
      <c r="G15" s="6">
        <f>F15/8</f>
        <v>2.6041666666666665</v>
      </c>
      <c r="H15" s="6">
        <f>H5*E15</f>
        <v>833333.33333333326</v>
      </c>
      <c r="I15" s="6">
        <v>700000</v>
      </c>
      <c r="J15" s="6">
        <v>26415</v>
      </c>
      <c r="K15" s="6">
        <f t="shared" si="0"/>
        <v>133333.33333333326</v>
      </c>
    </row>
    <row r="16" spans="1:11" x14ac:dyDescent="0.3">
      <c r="A16" s="6"/>
      <c r="B16" s="6" t="s">
        <v>27</v>
      </c>
      <c r="C16" s="6"/>
      <c r="D16" s="6"/>
      <c r="E16" s="14"/>
      <c r="F16" s="6"/>
      <c r="G16" s="6"/>
      <c r="H16" s="6"/>
      <c r="I16" s="6"/>
      <c r="J16" s="6"/>
      <c r="K16" s="6">
        <f t="shared" si="0"/>
        <v>0</v>
      </c>
    </row>
    <row r="17" spans="1:11" x14ac:dyDescent="0.3">
      <c r="A17" s="6"/>
      <c r="B17" s="6"/>
      <c r="C17" s="6"/>
      <c r="D17" s="6"/>
      <c r="E17" s="14"/>
      <c r="F17" s="6"/>
      <c r="G17" s="6"/>
      <c r="H17" s="6"/>
      <c r="I17" s="6"/>
      <c r="J17" s="6"/>
      <c r="K17" s="6">
        <f t="shared" si="0"/>
        <v>0</v>
      </c>
    </row>
    <row r="18" spans="1:11" x14ac:dyDescent="0.3">
      <c r="A18" s="6">
        <v>4</v>
      </c>
      <c r="B18" s="6" t="s">
        <v>6</v>
      </c>
      <c r="C18" s="15" t="s">
        <v>7</v>
      </c>
      <c r="D18" s="6"/>
      <c r="E18" s="14">
        <v>4.1666666666666664E-2</v>
      </c>
      <c r="F18" s="6">
        <f>F5*E18</f>
        <v>5.208333333333333</v>
      </c>
      <c r="G18" s="6">
        <f t="shared" ref="G18:G23" si="1">F18/8</f>
        <v>0.65104166666666663</v>
      </c>
      <c r="H18" s="6">
        <f>H5*E18</f>
        <v>208333.33333333331</v>
      </c>
      <c r="I18" s="6">
        <v>233000</v>
      </c>
      <c r="J18" s="6">
        <v>26424</v>
      </c>
      <c r="K18" s="6">
        <f t="shared" si="0"/>
        <v>-24666.666666666686</v>
      </c>
    </row>
    <row r="19" spans="1:11" x14ac:dyDescent="0.3">
      <c r="A19" s="6"/>
      <c r="B19" s="6" t="s">
        <v>27</v>
      </c>
      <c r="C19" s="15" t="s">
        <v>8</v>
      </c>
      <c r="D19" s="6"/>
      <c r="E19" s="14">
        <v>4.1666666666666664E-2</v>
      </c>
      <c r="F19" s="6">
        <f>F5*E19</f>
        <v>5.208333333333333</v>
      </c>
      <c r="G19" s="6">
        <f t="shared" si="1"/>
        <v>0.65104166666666663</v>
      </c>
      <c r="H19" s="6">
        <f>H5*E19</f>
        <v>208333.33333333331</v>
      </c>
      <c r="I19" s="6">
        <v>233000</v>
      </c>
      <c r="J19" s="6">
        <v>26425</v>
      </c>
      <c r="K19" s="6">
        <f t="shared" si="0"/>
        <v>-24666.666666666686</v>
      </c>
    </row>
    <row r="20" spans="1:11" x14ac:dyDescent="0.3">
      <c r="A20" s="6"/>
      <c r="B20" s="6"/>
      <c r="C20" s="15" t="s">
        <v>9</v>
      </c>
      <c r="D20" s="6"/>
      <c r="E20" s="14">
        <v>4.1666666666666664E-2</v>
      </c>
      <c r="F20" s="6">
        <f>F5*E20</f>
        <v>5.208333333333333</v>
      </c>
      <c r="G20" s="6">
        <f t="shared" si="1"/>
        <v>0.65104166666666663</v>
      </c>
      <c r="H20" s="6">
        <f>H5*E20</f>
        <v>208333.33333333331</v>
      </c>
      <c r="I20" s="6">
        <v>233000</v>
      </c>
      <c r="J20" s="6">
        <v>6340</v>
      </c>
      <c r="K20" s="6">
        <f t="shared" si="0"/>
        <v>-24666.666666666686</v>
      </c>
    </row>
    <row r="21" spans="1:11" x14ac:dyDescent="0.3">
      <c r="A21" s="6"/>
      <c r="B21" s="6"/>
      <c r="C21" s="6" t="s">
        <v>10</v>
      </c>
      <c r="D21" s="15" t="s">
        <v>28</v>
      </c>
      <c r="E21" s="16">
        <v>1.3888888888888888E-2</v>
      </c>
      <c r="F21" s="6">
        <f>F5*E21</f>
        <v>1.7361111111111109</v>
      </c>
      <c r="G21" s="6">
        <f t="shared" si="1"/>
        <v>0.21701388888888887</v>
      </c>
      <c r="H21" s="6">
        <f>H5*E21</f>
        <v>69444.444444444438</v>
      </c>
      <c r="I21" s="6">
        <v>77666</v>
      </c>
      <c r="J21" s="6">
        <v>26420</v>
      </c>
      <c r="K21" s="6">
        <f t="shared" si="0"/>
        <v>-8221.555555555562</v>
      </c>
    </row>
    <row r="22" spans="1:11" x14ac:dyDescent="0.3">
      <c r="A22" s="6"/>
      <c r="B22" s="6"/>
      <c r="C22" s="6" t="s">
        <v>11</v>
      </c>
      <c r="D22" s="15" t="s">
        <v>4</v>
      </c>
      <c r="E22" s="16">
        <v>1.3888888888888888E-2</v>
      </c>
      <c r="F22" s="6">
        <f>F5*E22</f>
        <v>1.7361111111111109</v>
      </c>
      <c r="G22" s="6">
        <f t="shared" si="1"/>
        <v>0.21701388888888887</v>
      </c>
      <c r="H22" s="6">
        <f>H5*E22</f>
        <v>69444.444444444438</v>
      </c>
      <c r="I22" s="6">
        <v>77666</v>
      </c>
      <c r="J22" s="6">
        <v>26421</v>
      </c>
      <c r="K22" s="6">
        <f t="shared" si="0"/>
        <v>-8221.555555555562</v>
      </c>
    </row>
    <row r="23" spans="1:11" x14ac:dyDescent="0.3">
      <c r="A23" s="6"/>
      <c r="B23" s="6"/>
      <c r="C23" s="6" t="s">
        <v>12</v>
      </c>
      <c r="D23" s="15" t="s">
        <v>5</v>
      </c>
      <c r="E23" s="16">
        <v>1.3888888888888888E-2</v>
      </c>
      <c r="F23" s="6">
        <f>F5*E23</f>
        <v>1.7361111111111109</v>
      </c>
      <c r="G23" s="6">
        <f t="shared" si="1"/>
        <v>0.21701388888888887</v>
      </c>
      <c r="H23" s="6">
        <f>H5*E23</f>
        <v>69444.444444444438</v>
      </c>
      <c r="I23" s="6">
        <v>77666</v>
      </c>
      <c r="J23" s="6">
        <v>26422</v>
      </c>
      <c r="K23" s="6">
        <f t="shared" si="0"/>
        <v>-8221.555555555562</v>
      </c>
    </row>
    <row r="24" spans="1:11" x14ac:dyDescent="0.3">
      <c r="A24" s="6"/>
      <c r="B24" s="6"/>
      <c r="C24" s="6"/>
      <c r="D24" s="15"/>
      <c r="E24" s="16"/>
      <c r="F24" s="6"/>
      <c r="G24" s="6"/>
      <c r="H24" s="6"/>
      <c r="I24" s="6"/>
      <c r="J24" s="6"/>
      <c r="K24" s="6">
        <f t="shared" si="0"/>
        <v>0</v>
      </c>
    </row>
    <row r="25" spans="1:11" x14ac:dyDescent="0.3">
      <c r="A25" s="6">
        <v>5</v>
      </c>
      <c r="B25" s="6" t="s">
        <v>21</v>
      </c>
      <c r="C25" s="15" t="s">
        <v>20</v>
      </c>
      <c r="D25" s="6"/>
      <c r="E25" s="14">
        <v>0.16666666666666666</v>
      </c>
      <c r="F25" s="6">
        <f>F5*E25</f>
        <v>20.833333333333332</v>
      </c>
      <c r="G25" s="6">
        <f>F25/8</f>
        <v>2.6041666666666665</v>
      </c>
      <c r="H25" s="6">
        <f>H5*E25</f>
        <v>833333.33333333326</v>
      </c>
      <c r="I25" s="6">
        <v>700000</v>
      </c>
      <c r="J25" s="6">
        <v>26423</v>
      </c>
      <c r="K25" s="6">
        <f t="shared" si="0"/>
        <v>133333.33333333326</v>
      </c>
    </row>
    <row r="26" spans="1:11" x14ac:dyDescent="0.3">
      <c r="A26" s="6"/>
      <c r="B26" s="6" t="s">
        <v>27</v>
      </c>
      <c r="C26" s="6"/>
      <c r="D26" s="6"/>
      <c r="E26" s="14"/>
      <c r="F26" s="6"/>
      <c r="G26" s="6"/>
      <c r="H26" s="6"/>
      <c r="I26" s="6"/>
      <c r="J26" s="6"/>
      <c r="K26" s="6"/>
    </row>
    <row r="27" spans="1:11" x14ac:dyDescent="0.3">
      <c r="A27" s="6"/>
      <c r="B27" s="6"/>
      <c r="C27" s="6"/>
      <c r="D27" s="6"/>
      <c r="E27" s="14"/>
      <c r="F27" s="6"/>
      <c r="G27" s="6"/>
      <c r="H27" s="6"/>
      <c r="I27" s="6"/>
      <c r="J27" s="6"/>
      <c r="K27" s="6"/>
    </row>
    <row r="28" spans="1:11" x14ac:dyDescent="0.3">
      <c r="A28" s="6">
        <v>6</v>
      </c>
      <c r="B28" s="13" t="s">
        <v>23</v>
      </c>
      <c r="C28" s="6" t="s">
        <v>24</v>
      </c>
      <c r="D28" s="6"/>
      <c r="E28" s="14">
        <v>0.16666666666666666</v>
      </c>
      <c r="F28" s="6">
        <f>F5*E28</f>
        <v>20.833333333333332</v>
      </c>
      <c r="G28" s="6">
        <f>F28/8</f>
        <v>2.6041666666666665</v>
      </c>
      <c r="H28" s="6">
        <f>H5*E28</f>
        <v>833333.33333333326</v>
      </c>
      <c r="I28" s="6">
        <v>100000</v>
      </c>
      <c r="J28" s="6"/>
      <c r="K28" s="6"/>
    </row>
    <row r="29" spans="1:11" x14ac:dyDescent="0.3">
      <c r="A29" s="6"/>
      <c r="B29" s="6" t="s">
        <v>27</v>
      </c>
      <c r="C29" s="6" t="s">
        <v>25</v>
      </c>
      <c r="D29" s="6"/>
      <c r="E29" s="14"/>
      <c r="F29" s="6"/>
      <c r="G29" s="6"/>
      <c r="H29" s="6"/>
      <c r="I29" s="6">
        <v>100000</v>
      </c>
      <c r="J29" s="6"/>
      <c r="K29" s="6"/>
    </row>
    <row r="30" spans="1:11" x14ac:dyDescent="0.3">
      <c r="A30" s="6"/>
      <c r="B30" s="6"/>
      <c r="C30" s="6" t="s">
        <v>26</v>
      </c>
      <c r="D30" s="6"/>
      <c r="E30" s="14"/>
      <c r="F30" s="6"/>
      <c r="G30" s="6"/>
      <c r="H30" s="6"/>
      <c r="I30" s="6">
        <v>100000</v>
      </c>
      <c r="J30" s="6"/>
      <c r="K30" s="6"/>
    </row>
    <row r="31" spans="1:11" ht="15" thickBot="1" x14ac:dyDescent="0.35">
      <c r="A31" s="29"/>
      <c r="B31" s="29"/>
      <c r="C31" s="29"/>
      <c r="D31" s="29"/>
      <c r="E31" s="30"/>
      <c r="F31" s="29"/>
      <c r="G31" s="29"/>
      <c r="H31" s="29" t="s">
        <v>65</v>
      </c>
      <c r="I31" s="29">
        <v>168002</v>
      </c>
      <c r="J31" s="29"/>
      <c r="K31" s="29"/>
    </row>
    <row r="32" spans="1:11" s="32" customFormat="1" ht="15" thickBot="1" x14ac:dyDescent="0.35">
      <c r="A32" s="33"/>
      <c r="B32" s="31"/>
      <c r="C32" s="31"/>
      <c r="D32" s="31"/>
      <c r="E32" s="34">
        <f>SUM(E7:E31)</f>
        <v>0.99999999999999967</v>
      </c>
      <c r="F32" s="31">
        <f>SUM(F7:F31)</f>
        <v>124.99999999999999</v>
      </c>
      <c r="G32" s="35">
        <v>15.62</v>
      </c>
      <c r="H32" s="31">
        <f>SUM(H7:H31)</f>
        <v>5000000</v>
      </c>
      <c r="I32" s="31">
        <f>SUM(I6:I31)</f>
        <v>5000000</v>
      </c>
      <c r="J32" s="31"/>
      <c r="K32" s="36">
        <f>SUM(K6:K31)</f>
        <v>-365331.33333333372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P30"/>
  <sheetViews>
    <sheetView topLeftCell="A10" workbookViewId="0">
      <selection activeCell="G37" sqref="G37"/>
    </sheetView>
  </sheetViews>
  <sheetFormatPr defaultRowHeight="14.4" x14ac:dyDescent="0.3"/>
  <cols>
    <col min="1" max="1" width="6.44140625" customWidth="1"/>
    <col min="2" max="2" width="3.88671875" customWidth="1"/>
    <col min="3" max="3" width="6.44140625" customWidth="1"/>
    <col min="4" max="4" width="5.6640625" style="2" customWidth="1"/>
    <col min="5" max="5" width="9" customWidth="1"/>
    <col min="6" max="6" width="6.5546875" customWidth="1"/>
    <col min="9" max="9" width="6.44140625" customWidth="1"/>
    <col min="10" max="10" width="5.6640625" style="2" customWidth="1"/>
  </cols>
  <sheetData>
    <row r="2" spans="1:16" ht="18" x14ac:dyDescent="0.35">
      <c r="B2" s="5" t="s">
        <v>60</v>
      </c>
    </row>
    <row r="4" spans="1:16" x14ac:dyDescent="0.3">
      <c r="A4" s="6" t="s">
        <v>59</v>
      </c>
      <c r="B4" s="6"/>
      <c r="C4" s="6" t="s">
        <v>50</v>
      </c>
      <c r="D4" s="7" t="s">
        <v>58</v>
      </c>
      <c r="E4" s="6" t="s">
        <v>30</v>
      </c>
      <c r="F4" s="6" t="s">
        <v>51</v>
      </c>
    </row>
    <row r="5" spans="1:16" x14ac:dyDescent="0.3">
      <c r="A5" s="6"/>
      <c r="B5" s="6"/>
      <c r="C5" s="6"/>
      <c r="D5" s="7"/>
      <c r="E5" s="6"/>
      <c r="F5" s="6"/>
    </row>
    <row r="6" spans="1:16" x14ac:dyDescent="0.3">
      <c r="A6" s="6">
        <v>1</v>
      </c>
      <c r="B6" s="6"/>
      <c r="C6" s="6">
        <v>18</v>
      </c>
      <c r="D6" s="7">
        <v>24</v>
      </c>
      <c r="E6" s="6">
        <v>8</v>
      </c>
      <c r="F6" s="6">
        <v>0</v>
      </c>
      <c r="G6" t="s">
        <v>79</v>
      </c>
    </row>
    <row r="7" spans="1:16" x14ac:dyDescent="0.3">
      <c r="A7" s="6">
        <v>2</v>
      </c>
      <c r="B7" s="6"/>
      <c r="C7" s="6">
        <v>18</v>
      </c>
      <c r="D7" s="7" t="s">
        <v>34</v>
      </c>
      <c r="E7" s="6">
        <v>3</v>
      </c>
      <c r="F7" s="6">
        <v>11</v>
      </c>
      <c r="G7" t="s">
        <v>79</v>
      </c>
    </row>
    <row r="8" spans="1:16" s="3" customFormat="1" ht="15.6" x14ac:dyDescent="0.3">
      <c r="A8" s="8"/>
      <c r="B8" s="8" t="s">
        <v>53</v>
      </c>
      <c r="C8" s="8"/>
      <c r="D8" s="9"/>
      <c r="E8" s="8">
        <f>SUM(E6:E7)</f>
        <v>11</v>
      </c>
      <c r="F8" s="8">
        <v>11</v>
      </c>
      <c r="I8"/>
      <c r="J8" s="2"/>
      <c r="K8"/>
      <c r="L8"/>
      <c r="M8"/>
      <c r="N8"/>
      <c r="O8"/>
      <c r="P8"/>
    </row>
    <row r="9" spans="1:16" x14ac:dyDescent="0.3">
      <c r="A9" s="6">
        <v>3</v>
      </c>
      <c r="B9" s="6"/>
      <c r="C9" s="6">
        <v>26</v>
      </c>
      <c r="D9" s="7" t="s">
        <v>35</v>
      </c>
      <c r="E9" s="6">
        <v>3</v>
      </c>
      <c r="F9" s="6">
        <v>13</v>
      </c>
      <c r="G9" s="12" t="s">
        <v>79</v>
      </c>
      <c r="H9" s="12"/>
      <c r="I9" s="12"/>
    </row>
    <row r="10" spans="1:16" x14ac:dyDescent="0.3">
      <c r="A10" s="6">
        <v>4</v>
      </c>
      <c r="B10" s="6"/>
      <c r="C10" s="6">
        <v>26</v>
      </c>
      <c r="D10" s="7" t="s">
        <v>36</v>
      </c>
      <c r="E10" s="6">
        <v>3</v>
      </c>
      <c r="F10" s="6">
        <v>13</v>
      </c>
      <c r="G10" s="37" t="s">
        <v>79</v>
      </c>
    </row>
    <row r="11" spans="1:16" x14ac:dyDescent="0.3">
      <c r="A11" s="6">
        <v>5</v>
      </c>
      <c r="B11" s="6"/>
      <c r="C11" s="6">
        <v>26</v>
      </c>
      <c r="D11" s="7" t="s">
        <v>37</v>
      </c>
      <c r="E11" s="6">
        <v>8</v>
      </c>
      <c r="F11" s="6">
        <v>0</v>
      </c>
      <c r="G11" s="37" t="s">
        <v>79</v>
      </c>
    </row>
    <row r="12" spans="1:16" x14ac:dyDescent="0.3">
      <c r="A12" s="6">
        <v>6</v>
      </c>
      <c r="B12" s="6"/>
      <c r="C12" s="6">
        <v>26</v>
      </c>
      <c r="D12" s="7" t="s">
        <v>38</v>
      </c>
      <c r="E12" s="6">
        <v>3</v>
      </c>
      <c r="F12" s="6">
        <v>8</v>
      </c>
      <c r="G12" s="37" t="s">
        <v>79</v>
      </c>
    </row>
    <row r="13" spans="1:16" x14ac:dyDescent="0.3">
      <c r="A13" s="6"/>
      <c r="B13" s="6"/>
      <c r="C13" s="6">
        <v>26</v>
      </c>
      <c r="D13" s="7" t="s">
        <v>61</v>
      </c>
      <c r="E13" s="6">
        <v>7</v>
      </c>
      <c r="F13" s="6">
        <v>4</v>
      </c>
      <c r="G13" s="37" t="s">
        <v>79</v>
      </c>
    </row>
    <row r="14" spans="1:16" s="3" customFormat="1" ht="15.6" x14ac:dyDescent="0.3">
      <c r="A14" s="8"/>
      <c r="B14" s="8" t="s">
        <v>54</v>
      </c>
      <c r="C14" s="8"/>
      <c r="D14" s="9"/>
      <c r="E14" s="8">
        <f>SUM(E9:E13)</f>
        <v>24</v>
      </c>
      <c r="F14" s="8">
        <f>SUM(F9:F13)</f>
        <v>38</v>
      </c>
      <c r="I14"/>
      <c r="J14" s="2"/>
      <c r="K14"/>
      <c r="L14"/>
      <c r="M14"/>
      <c r="N14"/>
      <c r="O14"/>
      <c r="P14"/>
    </row>
    <row r="15" spans="1:16" x14ac:dyDescent="0.3">
      <c r="A15" s="6">
        <v>7</v>
      </c>
      <c r="B15" s="6"/>
      <c r="C15" s="6">
        <v>27</v>
      </c>
      <c r="D15" s="7" t="s">
        <v>39</v>
      </c>
      <c r="E15" s="6">
        <v>4</v>
      </c>
      <c r="F15" s="6">
        <v>0</v>
      </c>
      <c r="G15" t="s">
        <v>79</v>
      </c>
    </row>
    <row r="16" spans="1:16" x14ac:dyDescent="0.3">
      <c r="A16" s="6">
        <v>8</v>
      </c>
      <c r="B16" s="6"/>
      <c r="C16" s="6">
        <v>27</v>
      </c>
      <c r="D16" s="7" t="s">
        <v>40</v>
      </c>
      <c r="E16" s="6">
        <v>8</v>
      </c>
      <c r="F16" s="6">
        <v>0</v>
      </c>
      <c r="G16" t="s">
        <v>79</v>
      </c>
    </row>
    <row r="17" spans="1:16" x14ac:dyDescent="0.3">
      <c r="A17" s="6">
        <v>9</v>
      </c>
      <c r="B17" s="6"/>
      <c r="C17" s="6">
        <v>27</v>
      </c>
      <c r="D17" s="7" t="s">
        <v>41</v>
      </c>
      <c r="E17" s="6">
        <v>8</v>
      </c>
      <c r="F17" s="6">
        <v>0</v>
      </c>
      <c r="G17" t="s">
        <v>79</v>
      </c>
    </row>
    <row r="18" spans="1:16" x14ac:dyDescent="0.3">
      <c r="A18" s="6">
        <v>10</v>
      </c>
      <c r="B18" s="6"/>
      <c r="C18" s="6">
        <v>27</v>
      </c>
      <c r="D18" s="7" t="s">
        <v>42</v>
      </c>
      <c r="E18" s="6">
        <v>8</v>
      </c>
      <c r="F18" s="6">
        <v>0</v>
      </c>
      <c r="G18" t="s">
        <v>79</v>
      </c>
    </row>
    <row r="19" spans="1:16" x14ac:dyDescent="0.3">
      <c r="A19" s="6">
        <v>11</v>
      </c>
      <c r="B19" s="6"/>
      <c r="C19" s="6">
        <v>27</v>
      </c>
      <c r="D19" s="7" t="s">
        <v>43</v>
      </c>
      <c r="E19" s="6">
        <v>8</v>
      </c>
      <c r="F19" s="6">
        <v>0</v>
      </c>
      <c r="G19" t="s">
        <v>79</v>
      </c>
    </row>
    <row r="20" spans="1:16" x14ac:dyDescent="0.3">
      <c r="A20" s="6">
        <v>12</v>
      </c>
      <c r="B20" s="6"/>
      <c r="C20" s="6">
        <v>27</v>
      </c>
      <c r="D20" s="7" t="s">
        <v>44</v>
      </c>
      <c r="E20" s="6">
        <v>8</v>
      </c>
      <c r="F20" s="6">
        <v>0</v>
      </c>
      <c r="G20" t="s">
        <v>79</v>
      </c>
    </row>
    <row r="21" spans="1:16" x14ac:dyDescent="0.3">
      <c r="A21" s="6">
        <v>13</v>
      </c>
      <c r="B21" s="6"/>
      <c r="C21" s="6">
        <v>27</v>
      </c>
      <c r="D21" s="7" t="s">
        <v>45</v>
      </c>
      <c r="E21" s="6">
        <v>9</v>
      </c>
      <c r="F21" s="6">
        <v>11</v>
      </c>
      <c r="G21" s="12" t="s">
        <v>79</v>
      </c>
      <c r="H21" s="12"/>
    </row>
    <row r="22" spans="1:16" x14ac:dyDescent="0.3">
      <c r="A22" s="6">
        <v>14</v>
      </c>
      <c r="B22" s="6"/>
      <c r="C22" s="6">
        <v>27</v>
      </c>
      <c r="D22" s="7" t="s">
        <v>46</v>
      </c>
      <c r="E22" s="6">
        <v>8</v>
      </c>
      <c r="F22" s="6">
        <v>0</v>
      </c>
      <c r="G22" s="37" t="s">
        <v>79</v>
      </c>
    </row>
    <row r="23" spans="1:16" x14ac:dyDescent="0.3">
      <c r="A23" s="6">
        <v>15</v>
      </c>
      <c r="B23" s="6"/>
      <c r="C23" s="6">
        <v>27</v>
      </c>
      <c r="D23" s="7" t="s">
        <v>47</v>
      </c>
      <c r="E23" s="6">
        <v>8</v>
      </c>
      <c r="F23" s="6">
        <v>0</v>
      </c>
      <c r="G23" s="37" t="s">
        <v>79</v>
      </c>
    </row>
    <row r="24" spans="1:16" x14ac:dyDescent="0.3">
      <c r="A24" s="6">
        <v>16</v>
      </c>
      <c r="B24" s="6"/>
      <c r="C24" s="6">
        <v>27</v>
      </c>
      <c r="D24" s="7" t="s">
        <v>48</v>
      </c>
      <c r="E24" s="6">
        <v>8</v>
      </c>
      <c r="F24" s="6">
        <v>0</v>
      </c>
      <c r="G24" s="37" t="s">
        <v>79</v>
      </c>
    </row>
    <row r="25" spans="1:16" x14ac:dyDescent="0.3">
      <c r="A25" s="6">
        <v>17</v>
      </c>
      <c r="B25" s="6"/>
      <c r="C25" s="6">
        <v>27</v>
      </c>
      <c r="D25" s="7" t="s">
        <v>49</v>
      </c>
      <c r="E25" s="6">
        <v>6</v>
      </c>
      <c r="F25" s="6">
        <v>11</v>
      </c>
      <c r="G25" s="37" t="s">
        <v>79</v>
      </c>
    </row>
    <row r="26" spans="1:16" x14ac:dyDescent="0.3">
      <c r="A26" s="6">
        <v>18</v>
      </c>
      <c r="B26" s="6"/>
      <c r="C26" s="6">
        <v>27</v>
      </c>
      <c r="D26" s="7" t="s">
        <v>52</v>
      </c>
      <c r="E26" s="6">
        <v>3</v>
      </c>
      <c r="F26" s="6">
        <v>16</v>
      </c>
      <c r="G26" s="37" t="s">
        <v>79</v>
      </c>
    </row>
    <row r="27" spans="1:16" s="3" customFormat="1" ht="15.6" x14ac:dyDescent="0.3">
      <c r="A27" s="8"/>
      <c r="B27" s="8" t="s">
        <v>55</v>
      </c>
      <c r="C27" s="8"/>
      <c r="D27" s="9"/>
      <c r="E27" s="8">
        <f>SUM(E15:E26)</f>
        <v>86</v>
      </c>
      <c r="F27" s="8">
        <f>SUM(F21:F26)</f>
        <v>38</v>
      </c>
      <c r="I27"/>
      <c r="J27" s="2"/>
      <c r="K27"/>
      <c r="L27"/>
      <c r="M27"/>
      <c r="N27"/>
      <c r="O27"/>
      <c r="P27"/>
    </row>
    <row r="28" spans="1:16" s="4" customFormat="1" ht="17.399999999999999" x14ac:dyDescent="0.35">
      <c r="A28" s="10"/>
      <c r="B28" s="10" t="s">
        <v>56</v>
      </c>
      <c r="C28" s="10"/>
      <c r="D28" s="11"/>
      <c r="E28" s="10">
        <f>E8+E14+E27</f>
        <v>121</v>
      </c>
      <c r="F28" s="10">
        <f>F8+F14+F27</f>
        <v>87</v>
      </c>
      <c r="G28" s="4" t="s">
        <v>62</v>
      </c>
      <c r="I28"/>
      <c r="J28" s="2"/>
      <c r="K28"/>
      <c r="L28"/>
      <c r="M28"/>
      <c r="N28"/>
      <c r="O28"/>
      <c r="P28"/>
    </row>
    <row r="29" spans="1:16" x14ac:dyDescent="0.3">
      <c r="A29" s="6"/>
      <c r="B29" s="6"/>
      <c r="C29" s="6" t="s">
        <v>57</v>
      </c>
      <c r="D29" s="7"/>
      <c r="E29" s="6">
        <v>125</v>
      </c>
      <c r="F29" s="6">
        <v>7</v>
      </c>
    </row>
    <row r="30" spans="1:16" x14ac:dyDescent="0.3">
      <c r="A30" s="6"/>
      <c r="B30" s="6"/>
      <c r="C30" s="6" t="s">
        <v>57</v>
      </c>
      <c r="D30" s="7"/>
      <c r="E30" s="6" t="s">
        <v>63</v>
      </c>
      <c r="F30" s="6" t="s">
        <v>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O32"/>
  <sheetViews>
    <sheetView topLeftCell="A5" workbookViewId="0">
      <selection activeCell="K7" sqref="K7:K30"/>
    </sheetView>
  </sheetViews>
  <sheetFormatPr defaultRowHeight="14.4" x14ac:dyDescent="0.3"/>
  <cols>
    <col min="1" max="1" width="5.44140625" customWidth="1"/>
    <col min="2" max="2" width="16.6640625" customWidth="1"/>
    <col min="3" max="3" width="19" customWidth="1"/>
    <col min="4" max="4" width="18.6640625" customWidth="1"/>
    <col min="5" max="5" width="17.77734375" customWidth="1"/>
    <col min="6" max="6" width="10.109375" style="1" customWidth="1"/>
    <col min="7" max="7" width="7.6640625" customWidth="1"/>
    <col min="8" max="8" width="7.88671875" customWidth="1"/>
    <col min="9" max="9" width="10" customWidth="1"/>
    <col min="10" max="10" width="7.33203125" customWidth="1"/>
    <col min="15" max="15" width="10" customWidth="1"/>
  </cols>
  <sheetData>
    <row r="3" spans="1:15" ht="15" thickBot="1" x14ac:dyDescent="0.35"/>
    <row r="4" spans="1:15" x14ac:dyDescent="0.3">
      <c r="A4" s="20" t="s">
        <v>0</v>
      </c>
      <c r="B4" s="21" t="s">
        <v>2</v>
      </c>
      <c r="C4" s="21" t="s">
        <v>1</v>
      </c>
      <c r="D4" s="21"/>
      <c r="E4" s="21" t="s">
        <v>72</v>
      </c>
      <c r="F4" s="22"/>
      <c r="G4" s="21" t="s">
        <v>30</v>
      </c>
      <c r="H4" s="21" t="s">
        <v>31</v>
      </c>
      <c r="I4" s="21" t="s">
        <v>32</v>
      </c>
      <c r="J4" s="21"/>
      <c r="O4" s="21" t="s">
        <v>32</v>
      </c>
    </row>
    <row r="5" spans="1:15" ht="15" thickBot="1" x14ac:dyDescent="0.35">
      <c r="A5" s="24"/>
      <c r="B5" s="25"/>
      <c r="C5" s="26" t="s">
        <v>3</v>
      </c>
      <c r="D5" s="25"/>
      <c r="E5" s="25"/>
      <c r="F5" s="27" t="s">
        <v>29</v>
      </c>
      <c r="G5" s="25">
        <v>125</v>
      </c>
      <c r="H5" s="25">
        <v>15.5</v>
      </c>
      <c r="I5" s="25" t="s">
        <v>33</v>
      </c>
      <c r="J5" s="25"/>
      <c r="O5" s="25" t="s">
        <v>33</v>
      </c>
    </row>
    <row r="6" spans="1:15" x14ac:dyDescent="0.3">
      <c r="A6" s="17"/>
      <c r="B6" s="17"/>
      <c r="C6" s="18"/>
      <c r="D6" s="17"/>
      <c r="E6" s="17"/>
      <c r="F6" s="19"/>
      <c r="G6" s="17"/>
      <c r="H6" s="17"/>
      <c r="I6" s="17"/>
      <c r="J6" s="17"/>
      <c r="O6" s="17"/>
    </row>
    <row r="7" spans="1:15" x14ac:dyDescent="0.3">
      <c r="A7" s="6">
        <v>1</v>
      </c>
      <c r="B7" s="6" t="s">
        <v>13</v>
      </c>
      <c r="C7" s="15" t="s">
        <v>14</v>
      </c>
      <c r="D7" s="6"/>
      <c r="E7" s="6"/>
      <c r="F7" s="14">
        <v>4.1666666666666664E-2</v>
      </c>
      <c r="G7" s="6">
        <f>G5*F7</f>
        <v>5.208333333333333</v>
      </c>
      <c r="H7" s="6">
        <f>G7/8</f>
        <v>0.65104166666666663</v>
      </c>
      <c r="I7" s="6">
        <v>500000</v>
      </c>
      <c r="J7" s="6">
        <v>26416</v>
      </c>
      <c r="K7" t="s">
        <v>76</v>
      </c>
      <c r="L7">
        <v>1</v>
      </c>
      <c r="O7" s="6">
        <v>500000</v>
      </c>
    </row>
    <row r="8" spans="1:15" x14ac:dyDescent="0.3">
      <c r="A8" s="6"/>
      <c r="B8" s="6" t="s">
        <v>27</v>
      </c>
      <c r="C8" s="15" t="s">
        <v>15</v>
      </c>
      <c r="D8" s="6"/>
      <c r="E8" s="6"/>
      <c r="F8" s="14">
        <v>4.1666666666666664E-2</v>
      </c>
      <c r="G8" s="6">
        <f>G5*F8</f>
        <v>5.208333333333333</v>
      </c>
      <c r="H8" s="6">
        <f>G8/8</f>
        <v>0.65104166666666663</v>
      </c>
      <c r="I8" s="6">
        <v>500000</v>
      </c>
      <c r="J8" s="6">
        <v>26417</v>
      </c>
      <c r="K8" t="s">
        <v>76</v>
      </c>
      <c r="L8">
        <v>1</v>
      </c>
      <c r="O8" s="6">
        <v>500000</v>
      </c>
    </row>
    <row r="9" spans="1:15" x14ac:dyDescent="0.3">
      <c r="A9" s="6"/>
      <c r="B9" s="6"/>
      <c r="C9" s="15" t="s">
        <v>16</v>
      </c>
      <c r="D9" s="6"/>
      <c r="E9" s="6"/>
      <c r="F9" s="14">
        <v>4.1666666666666664E-2</v>
      </c>
      <c r="G9" s="6">
        <f>G5*F9</f>
        <v>5.208333333333333</v>
      </c>
      <c r="H9" s="6">
        <f>G9/8</f>
        <v>0.65104166666666663</v>
      </c>
      <c r="I9" s="6">
        <v>500000</v>
      </c>
      <c r="J9" s="6">
        <v>26418</v>
      </c>
      <c r="K9" t="s">
        <v>76</v>
      </c>
      <c r="L9">
        <v>1</v>
      </c>
      <c r="O9" s="6">
        <v>500000</v>
      </c>
    </row>
    <row r="10" spans="1:15" x14ac:dyDescent="0.3">
      <c r="A10" s="6"/>
      <c r="B10" s="6"/>
      <c r="C10" s="15" t="s">
        <v>17</v>
      </c>
      <c r="D10" s="6"/>
      <c r="E10" s="6"/>
      <c r="F10" s="14">
        <v>4.1666666666666664E-2</v>
      </c>
      <c r="G10" s="6">
        <f>G5*F10</f>
        <v>5.208333333333333</v>
      </c>
      <c r="H10" s="6">
        <f>G10/8</f>
        <v>0.65104166666666663</v>
      </c>
      <c r="I10" s="6"/>
      <c r="J10" s="6"/>
      <c r="O10" s="6"/>
    </row>
    <row r="11" spans="1:15" x14ac:dyDescent="0.3">
      <c r="A11" s="6"/>
      <c r="B11" s="6"/>
      <c r="C11" s="15"/>
      <c r="D11" s="6"/>
      <c r="E11" s="6"/>
      <c r="F11" s="14"/>
      <c r="G11" s="6"/>
      <c r="H11" s="6"/>
      <c r="I11" s="6"/>
      <c r="J11" s="6"/>
      <c r="O11" s="6"/>
    </row>
    <row r="12" spans="1:15" x14ac:dyDescent="0.3">
      <c r="A12" s="6">
        <v>2</v>
      </c>
      <c r="B12" s="13" t="s">
        <v>22</v>
      </c>
      <c r="C12" s="6"/>
      <c r="D12" s="6" t="s">
        <v>67</v>
      </c>
      <c r="E12" s="6" t="s">
        <v>68</v>
      </c>
      <c r="F12" s="14">
        <v>0.16666666666666666</v>
      </c>
      <c r="G12" s="6">
        <f>G5*F12</f>
        <v>20.833333333333332</v>
      </c>
      <c r="H12" s="6">
        <f>G12/8</f>
        <v>2.6041666666666665</v>
      </c>
      <c r="I12" s="6">
        <v>700000</v>
      </c>
      <c r="J12" s="6">
        <v>26419</v>
      </c>
      <c r="K12" t="s">
        <v>76</v>
      </c>
      <c r="L12">
        <v>1</v>
      </c>
      <c r="O12" s="6">
        <v>700000</v>
      </c>
    </row>
    <row r="13" spans="1:15" x14ac:dyDescent="0.3">
      <c r="A13" s="6"/>
      <c r="B13" s="6" t="s">
        <v>27</v>
      </c>
      <c r="C13" s="6"/>
      <c r="D13" s="6"/>
      <c r="E13" s="6"/>
      <c r="F13" s="14"/>
      <c r="G13" s="6"/>
      <c r="H13" s="6"/>
      <c r="I13" s="6"/>
      <c r="J13" s="6"/>
      <c r="O13" s="6"/>
    </row>
    <row r="14" spans="1:15" x14ac:dyDescent="0.3">
      <c r="A14" s="6"/>
      <c r="B14" s="6"/>
      <c r="C14" s="6"/>
      <c r="D14" s="6"/>
      <c r="E14" s="6"/>
      <c r="F14" s="14"/>
      <c r="G14" s="6"/>
      <c r="H14" s="6"/>
      <c r="I14" s="6"/>
      <c r="J14" s="6"/>
      <c r="O14" s="6"/>
    </row>
    <row r="15" spans="1:15" x14ac:dyDescent="0.3">
      <c r="A15" s="6">
        <v>3</v>
      </c>
      <c r="B15" s="6" t="s">
        <v>18</v>
      </c>
      <c r="C15" s="15" t="s">
        <v>19</v>
      </c>
      <c r="D15" s="6"/>
      <c r="E15" s="6"/>
      <c r="F15" s="14">
        <v>0.16666666666666666</v>
      </c>
      <c r="G15" s="6">
        <f>G5*F15</f>
        <v>20.833333333333332</v>
      </c>
      <c r="H15" s="6">
        <f>G15/8</f>
        <v>2.6041666666666665</v>
      </c>
      <c r="I15" s="6">
        <v>700000</v>
      </c>
      <c r="J15" s="6">
        <v>26415</v>
      </c>
      <c r="K15" t="s">
        <v>76</v>
      </c>
      <c r="L15">
        <v>1</v>
      </c>
      <c r="O15" s="6">
        <v>700000</v>
      </c>
    </row>
    <row r="16" spans="1:15" x14ac:dyDescent="0.3">
      <c r="A16" s="6"/>
      <c r="B16" s="6" t="s">
        <v>27</v>
      </c>
      <c r="C16" s="6"/>
      <c r="D16" s="6"/>
      <c r="E16" s="6"/>
      <c r="F16" s="14"/>
      <c r="G16" s="6"/>
      <c r="H16" s="6"/>
      <c r="I16" s="6"/>
      <c r="J16" s="6"/>
      <c r="O16" s="6"/>
    </row>
    <row r="17" spans="1:15" x14ac:dyDescent="0.3">
      <c r="A17" s="6"/>
      <c r="B17" s="6"/>
      <c r="C17" s="6"/>
      <c r="D17" s="6"/>
      <c r="E17" s="6"/>
      <c r="F17" s="14"/>
      <c r="G17" s="6"/>
      <c r="H17" s="6"/>
      <c r="I17" s="6"/>
      <c r="J17" s="6"/>
      <c r="O17" s="6"/>
    </row>
    <row r="18" spans="1:15" x14ac:dyDescent="0.3">
      <c r="A18" s="6">
        <v>4</v>
      </c>
      <c r="B18" s="6" t="s">
        <v>6</v>
      </c>
      <c r="C18" s="15" t="s">
        <v>7</v>
      </c>
      <c r="D18" s="6"/>
      <c r="E18" s="6" t="s">
        <v>74</v>
      </c>
      <c r="F18" s="14">
        <v>4.1666666666666664E-2</v>
      </c>
      <c r="G18" s="6">
        <f>G5*F18</f>
        <v>5.208333333333333</v>
      </c>
      <c r="H18" s="6">
        <f t="shared" ref="H18:H23" si="0">G18/8</f>
        <v>0.65104166666666663</v>
      </c>
      <c r="I18" s="6">
        <v>233000</v>
      </c>
      <c r="J18" s="6">
        <v>26424</v>
      </c>
      <c r="K18" t="s">
        <v>76</v>
      </c>
      <c r="L18">
        <v>1</v>
      </c>
      <c r="O18" s="6">
        <v>233000</v>
      </c>
    </row>
    <row r="19" spans="1:15" x14ac:dyDescent="0.3">
      <c r="A19" s="6"/>
      <c r="B19" s="6" t="s">
        <v>27</v>
      </c>
      <c r="C19" s="15" t="s">
        <v>8</v>
      </c>
      <c r="D19" s="6"/>
      <c r="E19" s="6" t="s">
        <v>73</v>
      </c>
      <c r="F19" s="14">
        <v>4.1666666666666664E-2</v>
      </c>
      <c r="G19" s="6">
        <f>G5*F19</f>
        <v>5.208333333333333</v>
      </c>
      <c r="H19" s="6">
        <f t="shared" si="0"/>
        <v>0.65104166666666663</v>
      </c>
      <c r="I19" s="6">
        <v>233000</v>
      </c>
      <c r="J19" s="6">
        <v>26425</v>
      </c>
      <c r="K19" t="s">
        <v>76</v>
      </c>
      <c r="L19">
        <v>1</v>
      </c>
      <c r="O19" s="6">
        <v>233000</v>
      </c>
    </row>
    <row r="20" spans="1:15" x14ac:dyDescent="0.3">
      <c r="A20" s="6"/>
      <c r="B20" s="6"/>
      <c r="C20" s="15" t="s">
        <v>9</v>
      </c>
      <c r="D20" s="6"/>
      <c r="E20" s="6" t="s">
        <v>71</v>
      </c>
      <c r="F20" s="14">
        <v>4.1666666666666664E-2</v>
      </c>
      <c r="G20" s="6">
        <f>G5*F20</f>
        <v>5.208333333333333</v>
      </c>
      <c r="H20" s="6">
        <f t="shared" si="0"/>
        <v>0.65104166666666663</v>
      </c>
      <c r="I20" s="6">
        <v>233000</v>
      </c>
      <c r="J20" s="6">
        <v>6340</v>
      </c>
      <c r="K20" t="s">
        <v>77</v>
      </c>
      <c r="L20">
        <v>1</v>
      </c>
      <c r="O20" s="6">
        <v>233000</v>
      </c>
    </row>
    <row r="21" spans="1:15" x14ac:dyDescent="0.3">
      <c r="A21" s="6"/>
      <c r="B21" s="6"/>
      <c r="C21" s="6" t="s">
        <v>10</v>
      </c>
      <c r="D21" s="15" t="s">
        <v>28</v>
      </c>
      <c r="E21" s="15" t="s">
        <v>75</v>
      </c>
      <c r="F21" s="16">
        <v>1.3888888888888888E-2</v>
      </c>
      <c r="G21" s="6">
        <f>G5*F21</f>
        <v>1.7361111111111109</v>
      </c>
      <c r="H21" s="6">
        <f t="shared" si="0"/>
        <v>0.21701388888888887</v>
      </c>
      <c r="I21" s="6">
        <v>77666</v>
      </c>
      <c r="J21" s="6">
        <v>26420</v>
      </c>
      <c r="K21" t="s">
        <v>76</v>
      </c>
      <c r="L21">
        <v>1</v>
      </c>
      <c r="O21" s="6">
        <v>77666</v>
      </c>
    </row>
    <row r="22" spans="1:15" x14ac:dyDescent="0.3">
      <c r="A22" s="6"/>
      <c r="B22" s="6"/>
      <c r="C22" s="6" t="s">
        <v>11</v>
      </c>
      <c r="D22" s="15" t="s">
        <v>4</v>
      </c>
      <c r="E22" s="15" t="s">
        <v>70</v>
      </c>
      <c r="F22" s="16">
        <v>1.3888888888888888E-2</v>
      </c>
      <c r="G22" s="6">
        <f>G5*F22</f>
        <v>1.7361111111111109</v>
      </c>
      <c r="H22" s="6">
        <f t="shared" si="0"/>
        <v>0.21701388888888887</v>
      </c>
      <c r="I22" s="6">
        <v>77666</v>
      </c>
      <c r="J22" s="6">
        <v>26421</v>
      </c>
      <c r="K22" t="s">
        <v>76</v>
      </c>
      <c r="O22" s="6">
        <v>77666</v>
      </c>
    </row>
    <row r="23" spans="1:15" x14ac:dyDescent="0.3">
      <c r="A23" s="6"/>
      <c r="B23" s="6"/>
      <c r="C23" s="6" t="s">
        <v>12</v>
      </c>
      <c r="D23" s="15" t="s">
        <v>5</v>
      </c>
      <c r="E23" s="15" t="s">
        <v>69</v>
      </c>
      <c r="F23" s="16">
        <v>1.3888888888888888E-2</v>
      </c>
      <c r="G23" s="6">
        <f>G5*F23</f>
        <v>1.7361111111111109</v>
      </c>
      <c r="H23" s="6">
        <f t="shared" si="0"/>
        <v>0.21701388888888887</v>
      </c>
      <c r="I23" s="6">
        <v>77666</v>
      </c>
      <c r="J23" s="6">
        <v>26422</v>
      </c>
      <c r="K23" t="s">
        <v>76</v>
      </c>
      <c r="L23">
        <v>1</v>
      </c>
      <c r="O23" s="6">
        <v>77666</v>
      </c>
    </row>
    <row r="24" spans="1:15" x14ac:dyDescent="0.3">
      <c r="A24" s="6"/>
      <c r="B24" s="6"/>
      <c r="C24" s="6"/>
      <c r="D24" s="15"/>
      <c r="E24" s="15"/>
      <c r="F24" s="16"/>
      <c r="G24" s="6"/>
      <c r="H24" s="6"/>
      <c r="I24" s="6"/>
      <c r="J24" s="6"/>
      <c r="O24" s="6"/>
    </row>
    <row r="25" spans="1:15" x14ac:dyDescent="0.3">
      <c r="A25" s="6">
        <v>5</v>
      </c>
      <c r="B25" s="6" t="s">
        <v>21</v>
      </c>
      <c r="C25" s="15" t="s">
        <v>20</v>
      </c>
      <c r="D25" s="6" t="s">
        <v>67</v>
      </c>
      <c r="E25" s="6" t="s">
        <v>66</v>
      </c>
      <c r="F25" s="14">
        <v>0.16666666666666666</v>
      </c>
      <c r="G25" s="6">
        <f>G5*F25</f>
        <v>20.833333333333332</v>
      </c>
      <c r="H25" s="6">
        <f>G25/8</f>
        <v>2.6041666666666665</v>
      </c>
      <c r="I25" s="6">
        <v>700000</v>
      </c>
      <c r="J25" s="6">
        <v>26423</v>
      </c>
      <c r="K25" t="s">
        <v>76</v>
      </c>
      <c r="L25">
        <v>1</v>
      </c>
      <c r="O25" s="6">
        <v>700000</v>
      </c>
    </row>
    <row r="26" spans="1:15" x14ac:dyDescent="0.3">
      <c r="A26" s="6"/>
      <c r="B26" s="6" t="s">
        <v>27</v>
      </c>
      <c r="C26" s="6"/>
      <c r="D26" s="6"/>
      <c r="E26" s="6"/>
      <c r="F26" s="14"/>
      <c r="G26" s="6"/>
      <c r="H26" s="6"/>
      <c r="I26" s="6"/>
      <c r="J26" s="6"/>
      <c r="O26" s="6"/>
    </row>
    <row r="27" spans="1:15" x14ac:dyDescent="0.3">
      <c r="A27" s="6"/>
      <c r="B27" s="6"/>
      <c r="C27" s="6"/>
      <c r="D27" s="6"/>
      <c r="E27" s="6"/>
      <c r="F27" s="14"/>
      <c r="G27" s="6"/>
      <c r="H27" s="6"/>
      <c r="I27" s="6"/>
      <c r="J27" s="6"/>
      <c r="O27" s="6"/>
    </row>
    <row r="28" spans="1:15" x14ac:dyDescent="0.3">
      <c r="A28" s="6">
        <v>6</v>
      </c>
      <c r="B28" s="13" t="s">
        <v>23</v>
      </c>
      <c r="C28" s="6" t="s">
        <v>24</v>
      </c>
      <c r="D28" s="6"/>
      <c r="E28" s="6"/>
      <c r="F28" s="14">
        <v>0.16666666666666666</v>
      </c>
      <c r="G28" s="6">
        <f>G5*F28</f>
        <v>20.833333333333332</v>
      </c>
      <c r="H28" s="6">
        <f>G28/8</f>
        <v>2.6041666666666665</v>
      </c>
      <c r="I28" s="6">
        <v>100002</v>
      </c>
      <c r="J28" s="6">
        <v>480485</v>
      </c>
      <c r="K28" t="s">
        <v>78</v>
      </c>
      <c r="O28" s="6">
        <v>600000</v>
      </c>
    </row>
    <row r="29" spans="1:15" x14ac:dyDescent="0.3">
      <c r="A29" s="6"/>
      <c r="B29" s="6" t="s">
        <v>27</v>
      </c>
      <c r="C29" s="6" t="s">
        <v>25</v>
      </c>
      <c r="D29" s="6"/>
      <c r="E29" s="6"/>
      <c r="F29" s="14"/>
      <c r="G29" s="6"/>
      <c r="H29" s="6"/>
      <c r="I29" s="6">
        <v>100000</v>
      </c>
      <c r="J29" s="6">
        <v>480486</v>
      </c>
      <c r="K29" t="s">
        <v>78</v>
      </c>
      <c r="O29" s="6"/>
    </row>
    <row r="30" spans="1:15" x14ac:dyDescent="0.3">
      <c r="A30" s="6"/>
      <c r="B30" s="6"/>
      <c r="C30" s="6" t="s">
        <v>26</v>
      </c>
      <c r="D30" s="6"/>
      <c r="E30" s="6"/>
      <c r="F30" s="14"/>
      <c r="G30" s="6"/>
      <c r="H30" s="6"/>
      <c r="I30" s="6">
        <v>100000</v>
      </c>
      <c r="J30" s="6">
        <v>480487</v>
      </c>
      <c r="K30" t="s">
        <v>78</v>
      </c>
      <c r="O30" s="6"/>
    </row>
    <row r="31" spans="1:15" ht="15" thickBot="1" x14ac:dyDescent="0.35">
      <c r="A31" s="29"/>
      <c r="B31" s="29"/>
      <c r="C31" s="29"/>
      <c r="D31" s="29"/>
      <c r="E31" s="29"/>
      <c r="F31" s="30"/>
      <c r="G31" s="29"/>
      <c r="H31" s="29"/>
      <c r="I31" s="29">
        <v>168000</v>
      </c>
      <c r="J31" s="29"/>
      <c r="O31" s="29"/>
    </row>
    <row r="32" spans="1:15" s="32" customFormat="1" ht="15" thickBot="1" x14ac:dyDescent="0.35">
      <c r="A32" s="33"/>
      <c r="B32" s="31"/>
      <c r="C32" s="31"/>
      <c r="D32" s="31"/>
      <c r="E32" s="31"/>
      <c r="F32" s="34">
        <f>SUM(F7:F31)</f>
        <v>0.99999999999999967</v>
      </c>
      <c r="G32" s="31">
        <f>SUM(G7:G31)</f>
        <v>124.99999999999999</v>
      </c>
      <c r="H32" s="35">
        <v>15.62</v>
      </c>
      <c r="I32" s="31">
        <f>SUM(I6:I31)</f>
        <v>5000000</v>
      </c>
      <c r="J32" s="31"/>
      <c r="O32" s="31">
        <f>SUM(O6:O31)</f>
        <v>5131998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27" workbookViewId="0">
      <selection sqref="A1:H29"/>
    </sheetView>
  </sheetViews>
  <sheetFormatPr defaultRowHeight="14.4" x14ac:dyDescent="0.3"/>
  <cols>
    <col min="3" max="3" width="22.21875" bestFit="1" customWidth="1"/>
    <col min="4" max="4" width="22.109375" bestFit="1" customWidth="1"/>
    <col min="5" max="5" width="14.44140625" bestFit="1" customWidth="1"/>
  </cols>
  <sheetData>
    <row r="1" spans="1:8" x14ac:dyDescent="0.3">
      <c r="A1" s="20" t="s">
        <v>0</v>
      </c>
      <c r="B1" s="21" t="s">
        <v>2</v>
      </c>
      <c r="C1" s="21" t="s">
        <v>1</v>
      </c>
      <c r="D1" s="21"/>
      <c r="E1" s="21" t="s">
        <v>72</v>
      </c>
      <c r="F1" s="21" t="s">
        <v>32</v>
      </c>
      <c r="G1" s="38" t="s">
        <v>81</v>
      </c>
      <c r="H1" s="13" t="s">
        <v>82</v>
      </c>
    </row>
    <row r="2" spans="1:8" ht="15" thickBot="1" x14ac:dyDescent="0.35">
      <c r="A2" s="24"/>
      <c r="B2" s="25"/>
      <c r="C2" s="26" t="s">
        <v>3</v>
      </c>
      <c r="D2" s="25"/>
      <c r="E2" s="25"/>
      <c r="F2" s="25" t="s">
        <v>33</v>
      </c>
      <c r="G2" s="39" t="s">
        <v>80</v>
      </c>
      <c r="H2" s="13" t="s">
        <v>83</v>
      </c>
    </row>
    <row r="3" spans="1:8" x14ac:dyDescent="0.3">
      <c r="A3" s="17"/>
      <c r="B3" s="17"/>
      <c r="C3" s="18"/>
      <c r="D3" s="17"/>
      <c r="E3" s="17"/>
      <c r="F3" s="17"/>
      <c r="H3" s="6"/>
    </row>
    <row r="4" spans="1:8" x14ac:dyDescent="0.3">
      <c r="A4" s="6">
        <v>1</v>
      </c>
      <c r="B4" s="6" t="s">
        <v>13</v>
      </c>
      <c r="C4" s="15" t="s">
        <v>14</v>
      </c>
      <c r="D4" s="6"/>
      <c r="E4" s="6"/>
      <c r="F4" s="6">
        <v>500000</v>
      </c>
      <c r="G4" s="40">
        <v>26416</v>
      </c>
      <c r="H4" s="6" t="s">
        <v>76</v>
      </c>
    </row>
    <row r="5" spans="1:8" x14ac:dyDescent="0.3">
      <c r="A5" s="6"/>
      <c r="B5" s="6" t="s">
        <v>27</v>
      </c>
      <c r="C5" s="15" t="s">
        <v>15</v>
      </c>
      <c r="D5" s="6"/>
      <c r="E5" s="6"/>
      <c r="F5" s="6">
        <v>500000</v>
      </c>
      <c r="G5" s="40">
        <v>26417</v>
      </c>
      <c r="H5" s="6" t="s">
        <v>76</v>
      </c>
    </row>
    <row r="6" spans="1:8" x14ac:dyDescent="0.3">
      <c r="A6" s="6"/>
      <c r="B6" s="6"/>
      <c r="C6" s="15" t="s">
        <v>16</v>
      </c>
      <c r="D6" s="6"/>
      <c r="E6" s="6"/>
      <c r="F6" s="6">
        <v>500000</v>
      </c>
      <c r="G6" s="40">
        <v>26418</v>
      </c>
      <c r="H6" s="6" t="s">
        <v>76</v>
      </c>
    </row>
    <row r="7" spans="1:8" x14ac:dyDescent="0.3">
      <c r="A7" s="6"/>
      <c r="B7" s="6"/>
      <c r="C7" s="15" t="s">
        <v>17</v>
      </c>
      <c r="D7" s="6"/>
      <c r="E7" s="6"/>
      <c r="F7" s="6"/>
      <c r="G7" s="40"/>
      <c r="H7" s="6"/>
    </row>
    <row r="8" spans="1:8" x14ac:dyDescent="0.3">
      <c r="A8" s="6"/>
      <c r="B8" s="6"/>
      <c r="C8" s="15"/>
      <c r="D8" s="6"/>
      <c r="E8" s="6"/>
      <c r="F8" s="6"/>
      <c r="G8" s="40"/>
      <c r="H8" s="6"/>
    </row>
    <row r="9" spans="1:8" x14ac:dyDescent="0.3">
      <c r="A9" s="6">
        <v>2</v>
      </c>
      <c r="B9" s="13" t="s">
        <v>22</v>
      </c>
      <c r="C9" s="6"/>
      <c r="D9" s="6" t="s">
        <v>67</v>
      </c>
      <c r="E9" s="6" t="s">
        <v>68</v>
      </c>
      <c r="F9" s="6">
        <v>700000</v>
      </c>
      <c r="G9" s="40">
        <v>26419</v>
      </c>
      <c r="H9" s="6" t="s">
        <v>76</v>
      </c>
    </row>
    <row r="10" spans="1:8" x14ac:dyDescent="0.3">
      <c r="A10" s="6"/>
      <c r="B10" s="6" t="s">
        <v>27</v>
      </c>
      <c r="C10" s="6"/>
      <c r="D10" s="6"/>
      <c r="E10" s="6"/>
      <c r="F10" s="6"/>
      <c r="G10" s="40"/>
      <c r="H10" s="6"/>
    </row>
    <row r="11" spans="1:8" x14ac:dyDescent="0.3">
      <c r="A11" s="6"/>
      <c r="B11" s="6"/>
      <c r="C11" s="6"/>
      <c r="D11" s="6"/>
      <c r="E11" s="6"/>
      <c r="F11" s="6"/>
      <c r="G11" s="40"/>
      <c r="H11" s="6"/>
    </row>
    <row r="12" spans="1:8" x14ac:dyDescent="0.3">
      <c r="A12" s="6">
        <v>3</v>
      </c>
      <c r="B12" s="6" t="s">
        <v>18</v>
      </c>
      <c r="C12" s="15" t="s">
        <v>19</v>
      </c>
      <c r="D12" s="6"/>
      <c r="E12" s="6"/>
      <c r="F12" s="6">
        <v>700000</v>
      </c>
      <c r="G12" s="40">
        <v>26415</v>
      </c>
      <c r="H12" s="6" t="s">
        <v>76</v>
      </c>
    </row>
    <row r="13" spans="1:8" x14ac:dyDescent="0.3">
      <c r="A13" s="6"/>
      <c r="B13" s="6" t="s">
        <v>27</v>
      </c>
      <c r="C13" s="6"/>
      <c r="D13" s="6"/>
      <c r="E13" s="6"/>
      <c r="F13" s="6"/>
      <c r="G13" s="40"/>
      <c r="H13" s="6"/>
    </row>
    <row r="14" spans="1:8" x14ac:dyDescent="0.3">
      <c r="A14" s="6"/>
      <c r="B14" s="6"/>
      <c r="C14" s="6"/>
      <c r="D14" s="6"/>
      <c r="E14" s="6"/>
      <c r="F14" s="6"/>
      <c r="G14" s="40"/>
      <c r="H14" s="6"/>
    </row>
    <row r="15" spans="1:8" x14ac:dyDescent="0.3">
      <c r="A15" s="6">
        <v>4</v>
      </c>
      <c r="B15" s="6" t="s">
        <v>6</v>
      </c>
      <c r="C15" s="15" t="s">
        <v>7</v>
      </c>
      <c r="D15" s="6"/>
      <c r="E15" s="6" t="s">
        <v>74</v>
      </c>
      <c r="F15" s="6">
        <v>233000</v>
      </c>
      <c r="G15" s="40">
        <v>26424</v>
      </c>
      <c r="H15" s="6" t="s">
        <v>76</v>
      </c>
    </row>
    <row r="16" spans="1:8" x14ac:dyDescent="0.3">
      <c r="A16" s="6"/>
      <c r="B16" s="6" t="s">
        <v>27</v>
      </c>
      <c r="C16" s="15" t="s">
        <v>8</v>
      </c>
      <c r="D16" s="6"/>
      <c r="E16" s="6" t="s">
        <v>73</v>
      </c>
      <c r="F16" s="6">
        <v>233000</v>
      </c>
      <c r="G16" s="40">
        <v>26425</v>
      </c>
      <c r="H16" s="6" t="s">
        <v>76</v>
      </c>
    </row>
    <row r="17" spans="1:8" x14ac:dyDescent="0.3">
      <c r="A17" s="6"/>
      <c r="B17" s="6"/>
      <c r="C17" s="15" t="s">
        <v>9</v>
      </c>
      <c r="D17" s="6"/>
      <c r="E17" s="6" t="s">
        <v>71</v>
      </c>
      <c r="F17" s="6">
        <v>233000</v>
      </c>
      <c r="G17" s="40">
        <v>6340</v>
      </c>
      <c r="H17" s="6" t="s">
        <v>77</v>
      </c>
    </row>
    <row r="18" spans="1:8" x14ac:dyDescent="0.3">
      <c r="A18" s="6"/>
      <c r="B18" s="6"/>
      <c r="C18" s="6" t="s">
        <v>10</v>
      </c>
      <c r="D18" s="15" t="s">
        <v>28</v>
      </c>
      <c r="E18" s="15" t="s">
        <v>75</v>
      </c>
      <c r="F18" s="6">
        <v>77666</v>
      </c>
      <c r="G18" s="40">
        <v>26420</v>
      </c>
      <c r="H18" s="6" t="s">
        <v>76</v>
      </c>
    </row>
    <row r="19" spans="1:8" x14ac:dyDescent="0.3">
      <c r="A19" s="6"/>
      <c r="B19" s="6"/>
      <c r="C19" s="6" t="s">
        <v>11</v>
      </c>
      <c r="D19" s="15" t="s">
        <v>4</v>
      </c>
      <c r="E19" s="15" t="s">
        <v>70</v>
      </c>
      <c r="F19" s="6">
        <v>77666</v>
      </c>
      <c r="G19" s="40">
        <v>26421</v>
      </c>
      <c r="H19" s="6" t="s">
        <v>76</v>
      </c>
    </row>
    <row r="20" spans="1:8" x14ac:dyDescent="0.3">
      <c r="A20" s="6"/>
      <c r="B20" s="6"/>
      <c r="C20" s="6" t="s">
        <v>12</v>
      </c>
      <c r="D20" s="15" t="s">
        <v>5</v>
      </c>
      <c r="E20" s="15" t="s">
        <v>69</v>
      </c>
      <c r="F20" s="6">
        <v>77666</v>
      </c>
      <c r="G20" s="40">
        <v>26422</v>
      </c>
      <c r="H20" s="6" t="s">
        <v>76</v>
      </c>
    </row>
    <row r="21" spans="1:8" x14ac:dyDescent="0.3">
      <c r="A21" s="6"/>
      <c r="B21" s="6"/>
      <c r="C21" s="6"/>
      <c r="D21" s="15"/>
      <c r="E21" s="15"/>
      <c r="F21" s="6"/>
      <c r="G21" s="40"/>
      <c r="H21" s="6"/>
    </row>
    <row r="22" spans="1:8" x14ac:dyDescent="0.3">
      <c r="A22" s="6">
        <v>5</v>
      </c>
      <c r="B22" s="6" t="s">
        <v>21</v>
      </c>
      <c r="C22" s="15" t="s">
        <v>20</v>
      </c>
      <c r="D22" s="6" t="s">
        <v>67</v>
      </c>
      <c r="E22" s="6" t="s">
        <v>66</v>
      </c>
      <c r="F22" s="6">
        <v>700000</v>
      </c>
      <c r="G22" s="40">
        <v>26423</v>
      </c>
      <c r="H22" s="6" t="s">
        <v>76</v>
      </c>
    </row>
    <row r="23" spans="1:8" x14ac:dyDescent="0.3">
      <c r="A23" s="6"/>
      <c r="B23" s="6" t="s">
        <v>27</v>
      </c>
      <c r="C23" s="6"/>
      <c r="D23" s="6"/>
      <c r="E23" s="6"/>
      <c r="F23" s="6"/>
      <c r="G23" s="40"/>
      <c r="H23" s="6"/>
    </row>
    <row r="24" spans="1:8" x14ac:dyDescent="0.3">
      <c r="A24" s="6"/>
      <c r="B24" s="6"/>
      <c r="C24" s="6"/>
      <c r="D24" s="6"/>
      <c r="E24" s="6"/>
      <c r="F24" s="6"/>
      <c r="G24" s="40"/>
      <c r="H24" s="6"/>
    </row>
    <row r="25" spans="1:8" x14ac:dyDescent="0.3">
      <c r="A25" s="6">
        <v>6</v>
      </c>
      <c r="B25" s="13" t="s">
        <v>23</v>
      </c>
      <c r="C25" s="6" t="s">
        <v>24</v>
      </c>
      <c r="D25" s="6"/>
      <c r="E25" s="6"/>
      <c r="F25" s="6">
        <v>100002</v>
      </c>
      <c r="G25" s="40">
        <v>480485</v>
      </c>
      <c r="H25" s="6" t="s">
        <v>78</v>
      </c>
    </row>
    <row r="26" spans="1:8" x14ac:dyDescent="0.3">
      <c r="A26" s="6"/>
      <c r="B26" s="6" t="s">
        <v>27</v>
      </c>
      <c r="C26" s="6" t="s">
        <v>25</v>
      </c>
      <c r="D26" s="6"/>
      <c r="E26" s="6"/>
      <c r="F26" s="6">
        <v>100000</v>
      </c>
      <c r="G26" s="40">
        <v>480486</v>
      </c>
      <c r="H26" s="6" t="s">
        <v>78</v>
      </c>
    </row>
    <row r="27" spans="1:8" x14ac:dyDescent="0.3">
      <c r="A27" s="6"/>
      <c r="B27" s="6"/>
      <c r="C27" s="6" t="s">
        <v>26</v>
      </c>
      <c r="D27" s="6"/>
      <c r="E27" s="6"/>
      <c r="F27" s="6">
        <v>100000</v>
      </c>
      <c r="G27" s="40">
        <v>480487</v>
      </c>
      <c r="H27" s="6" t="s">
        <v>78</v>
      </c>
    </row>
    <row r="28" spans="1:8" ht="15" thickBot="1" x14ac:dyDescent="0.35">
      <c r="A28" s="29"/>
      <c r="B28" s="29"/>
      <c r="C28" s="29"/>
      <c r="D28" s="29"/>
      <c r="E28" s="29"/>
      <c r="F28" s="29">
        <v>168000</v>
      </c>
      <c r="G28" s="41"/>
      <c r="H28" s="6"/>
    </row>
    <row r="29" spans="1:8" ht="15" thickBot="1" x14ac:dyDescent="0.35">
      <c r="A29" s="33"/>
      <c r="B29" s="31"/>
      <c r="C29" s="31"/>
      <c r="D29" s="31"/>
      <c r="E29" s="31"/>
      <c r="F29" s="31">
        <f>SUM(F3:F28)</f>
        <v>5000000</v>
      </c>
      <c r="G29" s="31"/>
      <c r="H29" s="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Sheet1 (2)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2021-02-16T08:35:17Z</dcterms:modified>
</cp:coreProperties>
</file>